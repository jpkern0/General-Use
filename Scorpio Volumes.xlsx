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pio LW volum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<sst xmlns="http://schemas.openxmlformats.org/spreadsheetml/2006/main" count="42" uniqueCount="38">
  <si>
    <t xml:space="preserve">Lynred Scorpio LW + K508 in a 10 × 10 × 30 cm box — volume check</t>
  </si>
  <si>
    <t xml:space="preserve">Blue = input dimensions (edit these); black = formulas. Lengths in mm, volumes in litres (1 L = 1,000,000 mm³).</t>
  </si>
  <si>
    <t xml:space="preserve">Box</t>
  </si>
  <si>
    <t xml:space="preserve">Length (mm)</t>
  </si>
  <si>
    <t xml:space="preserve">Width (mm)</t>
  </si>
  <si>
    <t xml:space="preserve">Height (mm)</t>
  </si>
  <si>
    <t xml:space="preserve">Volume (L)</t>
  </si>
  <si>
    <t xml:space="preserve">Part</t>
  </si>
  <si>
    <t xml:space="preserve">Shape</t>
  </si>
  <si>
    <t xml:space="preserve">Diameter (mm)</t>
  </si>
  <si>
    <t xml:space="preserve">% of box</t>
  </si>
  <si>
    <t xml:space="preserve">Note</t>
  </si>
  <si>
    <t xml:space="preserve">Cooler cylinder (K508 rotary section)</t>
  </si>
  <si>
    <t xml:space="preserve">Cylinder</t>
  </si>
  <si>
    <t xml:space="preserve">Ricor K508N drawing; Ricor states it is interchangeable with the K508</t>
  </si>
  <si>
    <t xml:space="preserve">Dewar</t>
  </si>
  <si>
    <t xml:space="preserve">Length = sensor length along axis minus cooler diameter. Diameter is an estimate</t>
  </si>
  <si>
    <t xml:space="preserve">Lens</t>
  </si>
  <si>
    <t xml:space="preserve">Representative 72 mm f/2 LWIR lens, thin-wall barrel</t>
  </si>
  <si>
    <t xml:space="preserve">Summary</t>
  </si>
  <si>
    <t xml:space="preserve">Configuration</t>
  </si>
  <si>
    <t xml:space="preserve">Hardware (L)</t>
  </si>
  <si>
    <t xml:space="preserve">Hardware % of box</t>
  </si>
  <si>
    <t xml:space="preserve">Envelope size (mm)</t>
  </si>
  <si>
    <t xml:space="preserve">Envelope (L)</t>
  </si>
  <si>
    <t xml:space="preserve">Envelope % of box</t>
  </si>
  <si>
    <t xml:space="preserve">Hardware fills envelope</t>
  </si>
  <si>
    <t xml:space="preserve">With lens</t>
  </si>
  <si>
    <t xml:space="preserve">No lens</t>
  </si>
  <si>
    <t xml:space="preserve">Envelope = one rectangular block around the whole assembly (length × width × height).</t>
  </si>
  <si>
    <t xml:space="preserve">Envelope inputs</t>
  </si>
  <si>
    <t xml:space="preserve">Sensor length along optical axis (mm)</t>
  </si>
  <si>
    <t xml:space="preserve">Lynred Scorpio LW datasheet (with K508)</t>
  </si>
  <si>
    <t xml:space="preserve">Envelope width = cooler diameter (mm)</t>
  </si>
  <si>
    <t xml:space="preserve">Envelope height, with lens (mm)</t>
  </si>
  <si>
    <t xml:space="preserve">From the drawing: hardware spans 10 mm (lens bottom) to 83 mm (cooler top, 17 mm below the lid)</t>
  </si>
  <si>
    <t xml:space="preserve">Envelope height, no lens (mm)</t>
  </si>
  <si>
    <t xml:space="preserve">Without the lens, the lowest point is the cooler/dewar at 12 mm, so 12 to 83 mm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</si>
</sst>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0.000"/>
    <numFmt numFmtId="168" formatCode="0.0%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7EA"/>
        <bgColor rgb="FFF2F2F2"/>
      </patternFill>
    </fill>
    <fill>
      <patternFill patternType="solid">
        <fgColor rgb="FFF2F2F2"/>
        <bgColor rgb="FFDDE7E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7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3</v>
      </c>
      <c r="B5" s="5" t="n">
        <v>300</v>
      </c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4</v>
      </c>
      <c r="B6" s="5" t="n">
        <v>100</v>
      </c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</v>
      </c>
      <c r="B7" s="5" t="n">
        <v>100</v>
      </c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6</v>
      </c>
      <c r="B8" s="6" t="n">
        <f aca="false">B5*B6*B7/1000000</f>
        <v>3</v>
      </c>
      <c r="C8" s="2"/>
      <c r="D8" s="2"/>
      <c r="E8" s="2"/>
      <c r="F8" s="2"/>
      <c r="G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7" t="s">
        <v>7</v>
      </c>
      <c r="B10" s="7" t="s">
        <v>8</v>
      </c>
      <c r="C10" s="7" t="s">
        <v>9</v>
      </c>
      <c r="D10" s="7" t="s">
        <v>3</v>
      </c>
      <c r="E10" s="7" t="s">
        <v>6</v>
      </c>
      <c r="F10" s="7" t="s">
        <v>10</v>
      </c>
      <c r="G10" s="7" t="s">
        <v>11</v>
      </c>
    </row>
    <row r="11" customFormat="false" ht="15" hidden="false" customHeight="false" outlineLevel="0" collapsed="false">
      <c r="A11" s="2" t="s">
        <v>12</v>
      </c>
      <c r="B11" s="2" t="s">
        <v>13</v>
      </c>
      <c r="C11" s="5" t="n">
        <v>58</v>
      </c>
      <c r="D11" s="8" t="n">
        <v>71</v>
      </c>
      <c r="E11" s="9" t="n">
        <f aca="false">PI()*(C11/2)^2*D11/1000000</f>
        <v>0.1875876389385</v>
      </c>
      <c r="F11" s="10" t="n">
        <f aca="false">E11/$B$8</f>
        <v>0.0625292129795001</v>
      </c>
      <c r="G11" s="11" t="s">
        <v>14</v>
      </c>
    </row>
    <row r="12" customFormat="false" ht="15" hidden="false" customHeight="false" outlineLevel="0" collapsed="false">
      <c r="A12" s="2" t="s">
        <v>15</v>
      </c>
      <c r="B12" s="2" t="s">
        <v>13</v>
      </c>
      <c r="C12" s="5" t="n">
        <v>40</v>
      </c>
      <c r="D12" s="12" t="n">
        <f aca="false">B23-C11</f>
        <v>85</v>
      </c>
      <c r="E12" s="9" t="n">
        <f aca="false">PI()*(C12/2)^2*D12/1000000</f>
        <v>0.106814150222053</v>
      </c>
      <c r="F12" s="10" t="n">
        <f aca="false">E12/$B$8</f>
        <v>0.0356047167406843</v>
      </c>
      <c r="G12" s="11" t="s">
        <v>16</v>
      </c>
    </row>
    <row r="13" customFormat="false" ht="15" hidden="false" customHeight="false" outlineLevel="0" collapsed="false">
      <c r="A13" s="2" t="s">
        <v>17</v>
      </c>
      <c r="B13" s="2" t="s">
        <v>13</v>
      </c>
      <c r="C13" s="5" t="n">
        <v>44</v>
      </c>
      <c r="D13" s="8" t="n">
        <v>70</v>
      </c>
      <c r="E13" s="9" t="n">
        <f aca="false">PI()*(C13/2)^2*D13/1000000</f>
        <v>0.106437159103622</v>
      </c>
      <c r="F13" s="10" t="n">
        <f aca="false">E13/$B$8</f>
        <v>0.0354790530345407</v>
      </c>
      <c r="G13" s="11" t="s">
        <v>18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4" t="s">
        <v>19</v>
      </c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7" t="s">
        <v>20</v>
      </c>
      <c r="B16" s="7" t="s">
        <v>21</v>
      </c>
      <c r="C16" s="7" t="s">
        <v>22</v>
      </c>
      <c r="D16" s="7" t="s">
        <v>23</v>
      </c>
      <c r="E16" s="7" t="s">
        <v>24</v>
      </c>
      <c r="F16" s="7" t="s">
        <v>25</v>
      </c>
      <c r="G16" s="7" t="s">
        <v>26</v>
      </c>
    </row>
    <row r="17" customFormat="false" ht="15" hidden="false" customHeight="false" outlineLevel="0" collapsed="false">
      <c r="A17" s="13" t="s">
        <v>27</v>
      </c>
      <c r="B17" s="14" t="n">
        <f aca="false">SUM(E11:E13)</f>
        <v>0.400838948264175</v>
      </c>
      <c r="C17" s="15" t="n">
        <f aca="false">B17/$B$8</f>
        <v>0.133612982754725</v>
      </c>
      <c r="D17" s="13" t="str">
        <f aca="false">TEXT(B23+D13,"0")&amp;" × "&amp;TEXT(B24,"0")&amp;" × "&amp;TEXT(B25,"0")</f>
        <v>213 × 58 × 73</v>
      </c>
      <c r="E17" s="14" t="n">
        <f aca="false">(B23+D13)*B24*B25/1000000</f>
        <v>0.901842</v>
      </c>
      <c r="F17" s="15" t="n">
        <f aca="false">E17/$B$8</f>
        <v>0.300614</v>
      </c>
      <c r="G17" s="16" t="n">
        <f aca="false">B17/E17</f>
        <v>0.444466933525136</v>
      </c>
    </row>
    <row r="18" customFormat="false" ht="15" hidden="false" customHeight="false" outlineLevel="0" collapsed="false">
      <c r="A18" s="13" t="s">
        <v>28</v>
      </c>
      <c r="B18" s="14" t="n">
        <f aca="false">SUM(E11:E12)</f>
        <v>0.294401789160553</v>
      </c>
      <c r="C18" s="15" t="n">
        <f aca="false">B18/$B$8</f>
        <v>0.0981339297201844</v>
      </c>
      <c r="D18" s="13" t="str">
        <f aca="false">TEXT(B23,"0")&amp;" × "&amp;TEXT(B24,"0")&amp;" × "&amp;TEXT(B26,"0")</f>
        <v>143 × 58 × 71</v>
      </c>
      <c r="E18" s="14" t="n">
        <f aca="false">B23*B24*B26/1000000</f>
        <v>0.588874</v>
      </c>
      <c r="F18" s="15" t="n">
        <f aca="false">E18/$B$8</f>
        <v>0.196291333333333</v>
      </c>
      <c r="G18" s="16" t="n">
        <f aca="false">B18/E18</f>
        <v>0.499940206496726</v>
      </c>
    </row>
    <row r="19" customFormat="false" ht="15" hidden="false" customHeight="false" outlineLevel="0" collapsed="false">
      <c r="A19" s="3" t="s">
        <v>29</v>
      </c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15" hidden="false" customHeight="false" outlineLevel="0" collapsed="false">
      <c r="A22" s="4" t="s">
        <v>30</v>
      </c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2" t="s">
        <v>31</v>
      </c>
      <c r="B23" s="5" t="n">
        <v>143</v>
      </c>
      <c r="C23" s="11" t="s">
        <v>32</v>
      </c>
      <c r="D23" s="2"/>
      <c r="E23" s="2"/>
      <c r="F23" s="2"/>
      <c r="G23" s="2"/>
    </row>
    <row r="24" customFormat="false" ht="15" hidden="false" customHeight="false" outlineLevel="0" collapsed="false">
      <c r="A24" s="2" t="s">
        <v>33</v>
      </c>
      <c r="B24" s="17" t="n">
        <f aca="false">C11</f>
        <v>58</v>
      </c>
      <c r="C24" s="2"/>
      <c r="D24" s="2"/>
      <c r="E24" s="2"/>
      <c r="F24" s="2"/>
      <c r="G24" s="2"/>
    </row>
    <row r="25" customFormat="false" ht="15" hidden="false" customHeight="false" outlineLevel="0" collapsed="false">
      <c r="A25" s="2" t="s">
        <v>34</v>
      </c>
      <c r="B25" s="5" t="n">
        <v>73</v>
      </c>
      <c r="C25" s="11" t="s">
        <v>35</v>
      </c>
      <c r="D25" s="2"/>
      <c r="E25" s="2"/>
      <c r="F25" s="2"/>
      <c r="G25" s="2"/>
    </row>
    <row r="26" customFormat="false" ht="15" hidden="false" customHeight="false" outlineLevel="0" collapsed="false">
      <c r="A26" s="2" t="s">
        <v>36</v>
      </c>
      <c r="B26" s="5" t="n">
        <v>71</v>
      </c>
      <c r="C26" s="11" t="s">
        <v>37</v>
      </c>
      <c r="D26" s="2"/>
      <c r="E26" s="2"/>
      <c r="F26" s="2"/>
      <c r="G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2026-10-13T23:05:20Z</dcterms:created>
  <dc:creator>openpyxl</dc:creator>
  <dc:description/>
  <dc:language>en-US</dc:language>
  <cp:lastModifiedBy/>
  <dcterms:modified xsi:type="dcterms:W3CDTF">2026-10-13T23:05:20Z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